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4" yWindow="3294" windowWidth="17280" windowHeight="9984" tabRatio="569" firstSheet="0" activeTab="0" autoFilterDateGrouping="1"/>
  </bookViews>
  <sheets>
    <sheet xmlns:r="http://schemas.openxmlformats.org/officeDocument/2006/relationships" name="MOD_PARAM" sheetId="1" state="visible" r:id="rId1"/>
    <sheet xmlns:r="http://schemas.openxmlformats.org/officeDocument/2006/relationships" name="ERW_MO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nsolas"/>
      <family val="3"/>
      <color theme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0" pivotButton="0" quotePrefix="0" xfId="0"/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/>
    </xf>
    <xf numFmtId="0" fontId="0" fillId="0" borderId="2" applyAlignment="1" pivotButton="0" quotePrefix="0" xfId="0">
      <alignment horizontal="center"/>
    </xf>
    <xf numFmtId="0" fontId="0" fillId="0" borderId="3" pivotButton="0" quotePrefix="0" xfId="0"/>
    <xf numFmtId="2" fontId="0" fillId="0" borderId="3" pivotButton="0" quotePrefix="0" xfId="0"/>
    <xf numFmtId="0" fontId="0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2" fontId="0" fillId="0" borderId="3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tabSelected="1" topLeftCell="O1" zoomScale="115" zoomScaleNormal="115" workbookViewId="0">
      <selection activeCell="U1" sqref="U1:AC1048576"/>
    </sheetView>
  </sheetViews>
  <sheetFormatPr baseColWidth="8" defaultColWidth="8.68359375" defaultRowHeight="14.4"/>
  <cols>
    <col width="9.1015625" customWidth="1" style="2" min="1" max="1"/>
    <col width="34.68359375" customWidth="1" style="2" min="2" max="2"/>
    <col width="13.3125" bestFit="1" customWidth="1" style="2" min="3" max="3"/>
    <col width="12.3125" customWidth="1" style="2" min="4" max="4"/>
    <col width="12.41796875" customWidth="1" style="2" min="5" max="5"/>
    <col width="33.89453125" customWidth="1" style="2" min="6" max="6"/>
    <col width="8" customWidth="1" style="2" min="7" max="7"/>
    <col width="15" bestFit="1" customWidth="1" style="2" min="8" max="8"/>
    <col width="12.41796875" customWidth="1" style="2" min="9" max="9"/>
    <col width="9.1015625" customWidth="1" style="2" min="10" max="10"/>
    <col width="8.68359375" customWidth="1" style="2" min="11" max="11"/>
    <col width="10" customWidth="1" style="2" min="12" max="12"/>
    <col width="8.68359375" customWidth="1" style="2" min="13" max="14"/>
    <col width="112.41796875" customWidth="1" style="2" min="15" max="15"/>
    <col width="9.89453125" customWidth="1" style="2" min="16" max="16"/>
    <col width="8.5234375" customWidth="1" style="2" min="17" max="17"/>
    <col width="9.5234375" customWidth="1" style="2" min="18" max="18"/>
    <col width="8.5234375" customWidth="1" style="2" min="19" max="19"/>
    <col width="12.5234375" customWidth="1" style="2" min="20" max="20"/>
    <col width="8.68359375" customWidth="1" style="2" min="21" max="22"/>
    <col width="10.3125" customWidth="1" style="2" min="23" max="23"/>
    <col width="8.68359375" customWidth="1" style="2" min="24" max="24"/>
    <col width="11.68359375" customWidth="1" style="2" min="25" max="25"/>
    <col width="8.68359375" customWidth="1" style="2" min="26" max="16384"/>
  </cols>
  <sheetData>
    <row r="1">
      <c r="A1" s="6" t="inlineStr">
        <is>
          <t>Number</t>
        </is>
      </c>
      <c r="B1" s="15" t="inlineStr">
        <is>
          <t>ExperimentFullName</t>
        </is>
      </c>
      <c r="C1" s="16" t="inlineStr">
        <is>
          <t>Location</t>
        </is>
      </c>
      <c r="D1" s="17" t="inlineStr">
        <is>
          <t>Lat</t>
        </is>
      </c>
      <c r="E1" s="17" t="inlineStr">
        <is>
          <t>Lon</t>
        </is>
      </c>
      <c r="F1" s="13" t="inlineStr">
        <is>
          <t>MOD_PARAM</t>
        </is>
      </c>
      <c r="G1" s="16" t="inlineStr">
        <is>
          <t>t_res</t>
        </is>
      </c>
      <c r="H1" s="17" t="inlineStr">
        <is>
          <t>NumberOfDays</t>
        </is>
      </c>
      <c r="I1" s="6" t="inlineStr">
        <is>
          <t>Year</t>
        </is>
      </c>
      <c r="J1" s="18" t="inlineStr">
        <is>
          <t>PH</t>
        </is>
      </c>
      <c r="K1" s="6" t="inlineStr">
        <is>
          <t>rsd</t>
        </is>
      </c>
      <c r="L1" s="6" t="inlineStr">
        <is>
          <t>Pcla</t>
        </is>
      </c>
      <c r="M1" s="6" t="inlineStr">
        <is>
          <t>Psan</t>
        </is>
      </c>
      <c r="N1" s="6" t="inlineStr">
        <is>
          <t>Porg</t>
        </is>
      </c>
      <c r="O1" s="6" t="inlineStr">
        <is>
          <t>Zs</t>
        </is>
      </c>
      <c r="P1" s="6" t="inlineStr">
        <is>
          <t>Zbio</t>
        </is>
      </c>
      <c r="Q1" s="6" t="inlineStr">
        <is>
          <t>Cbare</t>
        </is>
      </c>
      <c r="R1" s="6" t="inlineStr">
        <is>
          <t>Ccrown</t>
        </is>
      </c>
      <c r="S1" s="6" t="inlineStr">
        <is>
          <t>cc</t>
        </is>
      </c>
      <c r="T1" s="6" t="inlineStr">
        <is>
          <t>ZR95_L</t>
        </is>
      </c>
      <c r="U1" s="6" t="inlineStr">
        <is>
          <t>Kbot</t>
        </is>
      </c>
      <c r="V1" s="6" t="inlineStr">
        <is>
          <t>f_O_in</t>
        </is>
      </c>
      <c r="W1" s="6" t="inlineStr">
        <is>
          <t>soil_temp</t>
        </is>
      </c>
      <c r="X1" s="6" t="inlineStr">
        <is>
          <t>PFT_type</t>
        </is>
      </c>
      <c r="Y1" s="6" t="inlineStr">
        <is>
          <t>stature_type</t>
        </is>
      </c>
    </row>
    <row r="2">
      <c r="A2" s="2" t="n">
        <v>3</v>
      </c>
      <c r="B2" s="3" t="inlineStr">
        <is>
          <t>Urbana (US)</t>
        </is>
      </c>
      <c r="C2" s="2" t="inlineStr">
        <is>
          <t>Kantola</t>
        </is>
      </c>
      <c r="D2" s="9" t="n">
        <v>40.062778</v>
      </c>
      <c r="E2" s="2" t="n">
        <v>-88.196111</v>
      </c>
      <c r="F2" s="2" t="inlineStr">
        <is>
          <t>MOD_PARAM_Kantola_Maize_Soy</t>
        </is>
      </c>
      <c r="G2" s="2" t="n">
        <v>6</v>
      </c>
      <c r="H2" s="2" t="n">
        <v>1825</v>
      </c>
      <c r="I2" s="2" t="inlineStr">
        <is>
          <t>2016-2020</t>
        </is>
      </c>
      <c r="J2" s="19" t="n">
        <v>6.1</v>
      </c>
      <c r="K2" s="2" t="n">
        <v>1295</v>
      </c>
      <c r="L2" s="2" t="n">
        <v>0.35</v>
      </c>
      <c r="M2" s="2" t="n">
        <v>0.1</v>
      </c>
      <c r="N2" s="2" t="n">
        <v>0.025</v>
      </c>
      <c r="O2" s="14" t="inlineStr">
        <is>
          <t>[0 10 50 100 150 200 300 400 600 800 1000 1250 1500 1750 2000 2500 3000 3500 4000 4500 5000]</t>
        </is>
      </c>
      <c r="P2" s="2" t="n">
        <v>300</v>
      </c>
      <c r="Q2" s="2" t="n">
        <v>1</v>
      </c>
      <c r="R2" s="2" t="inlineStr">
        <is>
          <t>[0 0]</t>
        </is>
      </c>
      <c r="S2" s="2" t="n">
        <v>2</v>
      </c>
    </row>
    <row r="3">
      <c r="A3" s="2" t="n">
        <v>4</v>
      </c>
      <c r="B3" s="3" t="inlineStr">
        <is>
          <t>Urbana (US)</t>
        </is>
      </c>
      <c r="C3" s="2" t="inlineStr">
        <is>
          <t>Kantola</t>
        </is>
      </c>
      <c r="D3" s="9" t="n">
        <v>40.062778</v>
      </c>
      <c r="E3" s="2" t="n">
        <v>-88.196111</v>
      </c>
      <c r="F3" s="2" t="inlineStr">
        <is>
          <t>MOD_PARAM_Kantola_Maize_Soy</t>
        </is>
      </c>
      <c r="G3" s="2" t="n">
        <v>6</v>
      </c>
      <c r="H3" s="2" t="n">
        <v>1825</v>
      </c>
      <c r="I3" s="2" t="inlineStr">
        <is>
          <t>2016-2020</t>
        </is>
      </c>
      <c r="J3" s="19" t="n">
        <v>6.1</v>
      </c>
      <c r="K3" s="2" t="n">
        <v>1295</v>
      </c>
      <c r="L3" s="2" t="n">
        <v>0.35</v>
      </c>
      <c r="M3" s="2" t="n">
        <v>0.1</v>
      </c>
      <c r="N3" s="2" t="n">
        <v>0.025</v>
      </c>
      <c r="O3" s="14" t="inlineStr">
        <is>
          <t>[0 10 50 100 150 200 300 400 600 800 1000 1250 1500 1750 2000 2500 3000 3500 4000 4500 5000]</t>
        </is>
      </c>
      <c r="P3" s="2" t="n">
        <v>300</v>
      </c>
      <c r="Q3" s="2" t="n">
        <v>1</v>
      </c>
      <c r="R3" s="2" t="inlineStr">
        <is>
          <t>[0 0]</t>
        </is>
      </c>
      <c r="S3" s="2" t="n">
        <v>2</v>
      </c>
    </row>
    <row r="4">
      <c r="A4" s="2" t="n">
        <v>5</v>
      </c>
      <c r="B4" s="3" t="inlineStr">
        <is>
          <t>Urbana (US)</t>
        </is>
      </c>
      <c r="C4" s="2" t="inlineStr">
        <is>
          <t>Kantola</t>
        </is>
      </c>
      <c r="D4" s="9" t="n">
        <v>40.062778</v>
      </c>
      <c r="E4" s="2" t="n">
        <v>-88.196111</v>
      </c>
      <c r="F4" s="2" t="inlineStr">
        <is>
          <t>MOD_PARAM_Kantola_Maize_Soy</t>
        </is>
      </c>
      <c r="G4" s="2" t="n">
        <v>6</v>
      </c>
      <c r="H4" s="2" t="n">
        <v>1825</v>
      </c>
      <c r="I4" s="2" t="inlineStr">
        <is>
          <t>2009-2016</t>
        </is>
      </c>
      <c r="J4" s="19" t="n">
        <v>6.1</v>
      </c>
      <c r="K4" s="2" t="n">
        <v>1295</v>
      </c>
      <c r="L4" s="2" t="n">
        <v>0.35</v>
      </c>
      <c r="M4" s="2" t="n">
        <v>0.1</v>
      </c>
      <c r="N4" s="2" t="n">
        <v>0.025</v>
      </c>
      <c r="O4" s="14" t="inlineStr">
        <is>
          <t>[0 10 50 100 150 200 300 400 600 800 1000 1250 1500 1750 2000 2500 3000 3500 4000 4500 5000]</t>
        </is>
      </c>
      <c r="P4" s="2" t="n">
        <v>300</v>
      </c>
      <c r="Q4" s="2" t="n">
        <v>1</v>
      </c>
      <c r="R4" s="2" t="inlineStr">
        <is>
          <t>[0 0]</t>
        </is>
      </c>
      <c r="S4" s="2" t="n">
        <v>2</v>
      </c>
    </row>
    <row r="5">
      <c r="A5" s="2" t="n">
        <v>6</v>
      </c>
      <c r="B5" s="3" t="inlineStr">
        <is>
          <t>Urbana (US)</t>
        </is>
      </c>
      <c r="C5" s="2" t="inlineStr">
        <is>
          <t>Kantola</t>
        </is>
      </c>
      <c r="D5" s="9" t="n">
        <v>40.062778</v>
      </c>
      <c r="E5" s="2" t="n">
        <v>-88.196111</v>
      </c>
      <c r="F5" s="2" t="inlineStr">
        <is>
          <t>MOD_PARAM_Kantola_Maize_Soy</t>
        </is>
      </c>
      <c r="G5" s="2" t="n">
        <v>6</v>
      </c>
      <c r="H5" s="2" t="n">
        <v>1825</v>
      </c>
      <c r="I5" s="2" t="inlineStr">
        <is>
          <t>2009-2016</t>
        </is>
      </c>
      <c r="J5" s="19" t="n">
        <v>6.1</v>
      </c>
      <c r="K5" s="2" t="n">
        <v>1295</v>
      </c>
      <c r="L5" s="2" t="n">
        <v>0.35</v>
      </c>
      <c r="M5" s="2" t="n">
        <v>0.1</v>
      </c>
      <c r="N5" s="2" t="n">
        <v>0.025</v>
      </c>
      <c r="O5" s="14" t="inlineStr">
        <is>
          <t>[0 10 50 100 150 200 300 400 600 800 1000 1250 1500 1750 2000 2500 3000 3500 4000 4500 5000]</t>
        </is>
      </c>
      <c r="P5" s="2" t="n">
        <v>300</v>
      </c>
      <c r="Q5" s="2" t="n">
        <v>1</v>
      </c>
      <c r="R5" s="2" t="inlineStr">
        <is>
          <t>[0 0]</t>
        </is>
      </c>
      <c r="S5" s="2" t="n">
        <v>2</v>
      </c>
    </row>
    <row r="6">
      <c r="A6" s="2" t="n">
        <v>7</v>
      </c>
      <c r="B6" s="3" t="inlineStr">
        <is>
          <t>Urbana (US)</t>
        </is>
      </c>
      <c r="C6" s="2" t="inlineStr">
        <is>
          <t>Kantola</t>
        </is>
      </c>
      <c r="D6" s="9" t="n">
        <v>40.062778</v>
      </c>
      <c r="E6" s="2" t="n">
        <v>-88.196111</v>
      </c>
      <c r="F6" s="2" t="inlineStr">
        <is>
          <t>MOD_PARAM_Kantola_Maize_Soy</t>
        </is>
      </c>
      <c r="G6" s="2" t="n">
        <v>6</v>
      </c>
      <c r="H6" s="2" t="n">
        <v>1825</v>
      </c>
      <c r="I6" s="2" t="inlineStr">
        <is>
          <t>2016-2020</t>
        </is>
      </c>
      <c r="J6" s="19" t="n">
        <v>6.1</v>
      </c>
      <c r="K6" s="2" t="n">
        <v>1295</v>
      </c>
      <c r="L6" s="2" t="n">
        <v>0.35</v>
      </c>
      <c r="M6" s="2" t="n">
        <v>0.1</v>
      </c>
      <c r="N6" s="2" t="n">
        <v>0.025</v>
      </c>
      <c r="O6" s="14" t="inlineStr">
        <is>
          <t>[0 10 50 100 150 200 300 400 600 800 1000 1250 1500 1750 2000 2500 3000 3500 4000 4500 5000]</t>
        </is>
      </c>
      <c r="P6" s="2" t="n">
        <v>300</v>
      </c>
      <c r="Q6" s="2" t="n">
        <v>1</v>
      </c>
      <c r="R6" s="2" t="inlineStr">
        <is>
          <t>[0 0]</t>
        </is>
      </c>
      <c r="S6" s="2" t="n">
        <v>2</v>
      </c>
    </row>
    <row r="9">
      <c r="S9" s="9" t="n"/>
    </row>
    <row r="10">
      <c r="S10" s="9" t="n"/>
    </row>
    <row r="12">
      <c r="Q12" s="9" t="n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topLeftCell="T1" workbookViewId="0">
      <selection activeCell="E18" sqref="E18"/>
    </sheetView>
  </sheetViews>
  <sheetFormatPr baseColWidth="8" defaultRowHeight="14.4"/>
  <cols>
    <col width="10.1015625" customWidth="1" min="1" max="1"/>
    <col width="32.5234375" customWidth="1" min="2" max="2"/>
    <col width="12.68359375" customWidth="1" min="3" max="3"/>
    <col width="18.68359375" customWidth="1" min="4" max="4"/>
    <col width="15.3125" customWidth="1" min="5" max="5"/>
    <col width="22.41796875" customWidth="1" min="6" max="6"/>
    <col width="16.3125" customWidth="1" min="7" max="7"/>
    <col width="11.5234375" customWidth="1" min="8" max="8"/>
    <col width="27.3125" customWidth="1" min="9" max="9"/>
    <col width="12.68359375" customWidth="1" min="10" max="10"/>
    <col width="15.5234375" customWidth="1" min="11" max="11"/>
    <col width="23.68359375" customWidth="1" min="12" max="12"/>
    <col width="12.3125" customWidth="1" min="13" max="13"/>
    <col width="11.3125" bestFit="1" customWidth="1" min="14" max="14"/>
    <col width="12.5234375" customWidth="1" min="15" max="15"/>
    <col width="12.3125" customWidth="1" min="16" max="16"/>
    <col width="11.5234375" customWidth="1" min="17" max="23"/>
    <col width="34.68359375" customWidth="1" min="24" max="24"/>
    <col width="15.68359375" customWidth="1" min="25" max="25"/>
    <col width="73.1015625" customWidth="1" min="26" max="26"/>
    <col width="30.1015625" customWidth="1" min="27" max="27"/>
    <col width="15.5234375" customWidth="1" min="28" max="28"/>
    <col width="14.68359375" customWidth="1" min="32" max="32"/>
    <col width="11.3125" customWidth="1" min="36" max="36"/>
  </cols>
  <sheetData>
    <row r="1">
      <c r="A1" s="5" t="inlineStr">
        <is>
          <t>Number</t>
        </is>
      </c>
      <c r="B1" s="10" t="inlineStr">
        <is>
          <t>ExperimentFullName</t>
        </is>
      </c>
      <c r="C1" s="11" t="inlineStr">
        <is>
          <t>Location</t>
        </is>
      </c>
      <c r="D1" s="12" t="inlineStr">
        <is>
          <t>Lat</t>
        </is>
      </c>
      <c r="E1" s="12" t="inlineStr">
        <is>
          <t>Lon</t>
        </is>
      </c>
      <c r="F1" s="13" t="inlineStr">
        <is>
          <t>ExperimentalDescription</t>
        </is>
      </c>
      <c r="G1" s="6" t="inlineStr">
        <is>
          <t>opt_TC_biochem</t>
        </is>
      </c>
      <c r="H1" s="6" t="inlineStr">
        <is>
          <t>opt_crop</t>
        </is>
      </c>
      <c r="I1" s="6" t="inlineStr">
        <is>
          <t>fX_conc_convention</t>
        </is>
      </c>
      <c r="J1" s="5" t="inlineStr">
        <is>
          <t>keyword_add</t>
        </is>
      </c>
      <c r="K1" s="5" t="inlineStr">
        <is>
          <t>rock_dist_data</t>
        </is>
      </c>
      <c r="L1" s="5" t="inlineStr">
        <is>
          <t>rock_filepath</t>
        </is>
      </c>
      <c r="M1" s="5" t="inlineStr">
        <is>
          <t>rock_type</t>
        </is>
      </c>
      <c r="N1" s="5" t="inlineStr">
        <is>
          <t>soil</t>
        </is>
      </c>
      <c r="O1" s="5" t="inlineStr">
        <is>
          <t>CEC_tot_in</t>
        </is>
      </c>
      <c r="P1" s="5" t="inlineStr">
        <is>
          <t>MgCO3_in</t>
        </is>
      </c>
      <c r="Q1" s="5" t="inlineStr">
        <is>
          <t>CaCO3_in</t>
        </is>
      </c>
      <c r="R1" s="5" t="inlineStr">
        <is>
          <t>Mg_in</t>
        </is>
      </c>
      <c r="S1" s="5" t="inlineStr">
        <is>
          <t>Ca_in</t>
        </is>
      </c>
      <c r="T1" s="5" t="inlineStr">
        <is>
          <t>K_in</t>
        </is>
      </c>
      <c r="U1" s="5" t="inlineStr">
        <is>
          <t>Na_in</t>
        </is>
      </c>
      <c r="V1" s="5" t="inlineStr">
        <is>
          <t>Si_in</t>
        </is>
      </c>
      <c r="W1" s="5" t="inlineStr">
        <is>
          <t>Al_w_in</t>
        </is>
      </c>
      <c r="X1" s="5" t="inlineStr">
        <is>
          <t>f_CEC_in</t>
        </is>
      </c>
      <c r="Y1" s="5" t="inlineStr">
        <is>
          <t>M_rock_in</t>
        </is>
      </c>
      <c r="Z1" s="5" t="inlineStr">
        <is>
          <t>mineral</t>
        </is>
      </c>
      <c r="AA1" s="5" t="inlineStr">
        <is>
          <t>rock_f_in</t>
        </is>
      </c>
      <c r="AB1" s="5" t="inlineStr">
        <is>
          <t>rho_rock</t>
        </is>
      </c>
      <c r="AC1" s="5" t="inlineStr">
        <is>
          <t>d_in</t>
        </is>
      </c>
      <c r="AD1" s="5" t="inlineStr">
        <is>
          <t>psd_in</t>
        </is>
      </c>
      <c r="AE1" s="5" t="inlineStr">
        <is>
          <t>SSA_in</t>
        </is>
      </c>
      <c r="AF1" s="5" t="inlineStr">
        <is>
          <t>diss_f_original</t>
        </is>
      </c>
      <c r="AG1" s="5" t="inlineStr">
        <is>
          <t>diss_f</t>
        </is>
      </c>
      <c r="AH1" s="5" t="inlineStr">
        <is>
          <t>Alk_rain</t>
        </is>
      </c>
      <c r="AI1" s="5" t="inlineStr">
        <is>
          <t>pH_DilutionFactor</t>
        </is>
      </c>
    </row>
    <row r="2">
      <c r="A2" s="4" t="n">
        <v>3</v>
      </c>
      <c r="B2" s="3" t="inlineStr">
        <is>
          <t>Urbana (US)</t>
        </is>
      </c>
      <c r="C2" s="2" t="inlineStr">
        <is>
          <t>Kantola</t>
        </is>
      </c>
      <c r="D2" s="9" t="n">
        <v>40.062778</v>
      </c>
      <c r="E2" s="2" t="n">
        <v>-88.196111</v>
      </c>
      <c r="F2" s="2" t="inlineStr">
        <is>
          <t>crop_Beerling</t>
        </is>
      </c>
      <c r="G2" s="2" t="n">
        <v>1</v>
      </c>
      <c r="H2" s="2" t="n">
        <v>1</v>
      </c>
      <c r="I2" s="2" t="inlineStr">
        <is>
          <t>Kantola</t>
        </is>
      </c>
      <c r="J2" s="4" t="n">
        <v>1</v>
      </c>
      <c r="K2" t="inlineStr">
        <is>
          <t>Kantola</t>
        </is>
      </c>
      <c r="L2" t="inlineStr">
        <is>
          <t>blueridge_CDF_data.json</t>
        </is>
      </c>
      <c r="M2" t="inlineStr">
        <is>
          <t>Blueridge</t>
        </is>
      </c>
      <c r="N2" t="inlineStr">
        <is>
          <t>silty loam</t>
        </is>
      </c>
      <c r="O2" s="7" t="n">
        <v>8.6</v>
      </c>
      <c r="P2" s="7" t="n">
        <v>0</v>
      </c>
      <c r="Q2" s="7" t="n">
        <v>0</v>
      </c>
      <c r="R2" s="7" t="n"/>
      <c r="S2" s="7" t="n"/>
      <c r="T2" s="7" t="n"/>
      <c r="U2" s="7" t="n"/>
      <c r="V2" s="7" t="n"/>
      <c r="W2" s="7" t="n"/>
      <c r="Y2" t="n">
        <v>0</v>
      </c>
      <c r="Z2" t="inlineStr">
        <is>
          <t>["albite", "ferroactinolite", "epidote", "chlorite","quartz","calcite"]</t>
        </is>
      </c>
      <c r="AA2" s="1" t="inlineStr">
        <is>
          <t>[0.233,0.119,0.178,0.34,0.09,0.026]</t>
        </is>
      </c>
      <c r="AB2" t="n">
        <v>3000000</v>
      </c>
      <c r="AE2" t="n">
        <v>1.02</v>
      </c>
      <c r="AG2" t="n">
        <v>1</v>
      </c>
      <c r="AH2" t="n">
        <v>0</v>
      </c>
      <c r="AI2" t="n">
        <v>2</v>
      </c>
    </row>
    <row r="3">
      <c r="A3" s="4" t="n">
        <v>4</v>
      </c>
      <c r="B3" s="3" t="inlineStr">
        <is>
          <t>Urbana (US)</t>
        </is>
      </c>
      <c r="C3" s="2" t="inlineStr">
        <is>
          <t>Kantola</t>
        </is>
      </c>
      <c r="D3" s="9" t="n">
        <v>40.062778</v>
      </c>
      <c r="E3" s="2" t="n">
        <v>-88.196111</v>
      </c>
      <c r="F3" s="2" t="inlineStr">
        <is>
          <t>crop_Lewis</t>
        </is>
      </c>
      <c r="G3" s="2" t="n">
        <v>1</v>
      </c>
      <c r="H3" s="2" t="n">
        <v>1</v>
      </c>
      <c r="I3" s="2" t="inlineStr">
        <is>
          <t>Kantola</t>
        </is>
      </c>
      <c r="J3" s="4" t="n">
        <v>1</v>
      </c>
      <c r="K3" t="inlineStr">
        <is>
          <t>Kantola</t>
        </is>
      </c>
      <c r="L3" t="inlineStr">
        <is>
          <t>blueridge_CDF_data.json</t>
        </is>
      </c>
      <c r="M3" t="inlineStr">
        <is>
          <t>Blueridge</t>
        </is>
      </c>
      <c r="N3" t="inlineStr">
        <is>
          <t>silty loam</t>
        </is>
      </c>
      <c r="O3" s="7" t="n">
        <v>8.6</v>
      </c>
      <c r="P3" s="7" t="n">
        <v>0</v>
      </c>
      <c r="Q3" s="7" t="n">
        <v>0</v>
      </c>
      <c r="R3" s="7" t="n"/>
      <c r="S3" s="7" t="n"/>
      <c r="T3" s="7" t="n"/>
      <c r="U3" s="7" t="n"/>
      <c r="V3" s="7" t="n"/>
      <c r="W3" s="7" t="n"/>
      <c r="Y3" t="n">
        <v>0</v>
      </c>
      <c r="Z3" t="inlineStr">
        <is>
          <t>["albite", "ferroactinolite", "epidote", "chlorite","quartz"]</t>
        </is>
      </c>
      <c r="AA3" s="1" t="inlineStr">
        <is>
          <t>[0.196,0.116,0.256,0.363,0.052]</t>
        </is>
      </c>
      <c r="AB3">
        <f>3*1000000</f>
        <v/>
      </c>
      <c r="AE3" t="n">
        <v>1.02</v>
      </c>
      <c r="AG3" t="n">
        <v>1</v>
      </c>
      <c r="AH3" t="n">
        <v>0</v>
      </c>
      <c r="AI3" t="n">
        <v>2</v>
      </c>
    </row>
    <row r="4">
      <c r="A4" s="4" t="n">
        <v>5</v>
      </c>
      <c r="B4" s="3" t="inlineStr">
        <is>
          <t>Urbana (US)</t>
        </is>
      </c>
      <c r="C4" s="2" t="inlineStr">
        <is>
          <t>Kantola</t>
        </is>
      </c>
      <c r="D4" s="9" t="n">
        <v>40.062778</v>
      </c>
      <c r="E4" s="2" t="n">
        <v>-88.196111</v>
      </c>
      <c r="F4" t="inlineStr">
        <is>
          <t>crop_control</t>
        </is>
      </c>
      <c r="G4" s="2" t="n">
        <v>1</v>
      </c>
      <c r="H4" s="2" t="n">
        <v>1</v>
      </c>
      <c r="I4" s="2" t="inlineStr">
        <is>
          <t>Kantola</t>
        </is>
      </c>
      <c r="J4" s="4" t="n">
        <v>1</v>
      </c>
      <c r="K4" t="inlineStr">
        <is>
          <t>Kantola</t>
        </is>
      </c>
      <c r="N4" t="inlineStr">
        <is>
          <t>silty loam</t>
        </is>
      </c>
      <c r="O4" s="7" t="n">
        <v>8.6</v>
      </c>
      <c r="P4" s="7" t="n">
        <v>0</v>
      </c>
      <c r="Q4" s="7" t="n">
        <v>0</v>
      </c>
      <c r="R4" s="7" t="n"/>
      <c r="S4" s="7" t="n"/>
      <c r="T4" s="7" t="n"/>
      <c r="U4" s="7" t="n"/>
      <c r="V4" s="7" t="n"/>
      <c r="W4" s="7" t="n"/>
      <c r="Y4" t="n">
        <v>0</v>
      </c>
      <c r="AA4" s="8" t="n"/>
      <c r="AH4" t="n">
        <v>0</v>
      </c>
      <c r="AI4" t="n">
        <v>2</v>
      </c>
    </row>
    <row r="5">
      <c r="A5" s="4" t="n">
        <v>6</v>
      </c>
      <c r="B5" s="3" t="inlineStr">
        <is>
          <t>Urbana (US)</t>
        </is>
      </c>
      <c r="C5" s="2" t="inlineStr">
        <is>
          <t>Kantola</t>
        </is>
      </c>
      <c r="D5" s="9" t="n">
        <v>40.062778</v>
      </c>
      <c r="E5" s="2" t="n">
        <v>-88.196111</v>
      </c>
      <c r="F5" t="inlineStr">
        <is>
          <t>pretreatment</t>
        </is>
      </c>
      <c r="G5" s="2" t="n">
        <v>1</v>
      </c>
      <c r="H5" s="2" t="n">
        <v>1</v>
      </c>
      <c r="I5" s="2" t="inlineStr">
        <is>
          <t>Kantola</t>
        </is>
      </c>
      <c r="J5" s="4" t="n">
        <v>1</v>
      </c>
      <c r="K5" t="inlineStr">
        <is>
          <t>Kantola</t>
        </is>
      </c>
      <c r="N5" t="inlineStr">
        <is>
          <t>silty loam</t>
        </is>
      </c>
      <c r="O5" s="7" t="n">
        <v>8.6</v>
      </c>
      <c r="P5" s="7" t="n">
        <v>0</v>
      </c>
      <c r="Q5" s="7" t="n">
        <v>0</v>
      </c>
      <c r="R5" s="7" t="n"/>
      <c r="S5" s="7" t="n"/>
      <c r="T5" s="7" t="n"/>
      <c r="U5" s="7" t="n"/>
      <c r="V5" s="7" t="n"/>
      <c r="W5" s="7" t="n"/>
      <c r="Y5" t="n">
        <v>0</v>
      </c>
      <c r="AA5" s="8" t="n"/>
      <c r="AH5" t="n">
        <v>0</v>
      </c>
      <c r="AI5" t="n">
        <v>2</v>
      </c>
    </row>
    <row r="6">
      <c r="A6" s="4" t="n">
        <v>7</v>
      </c>
      <c r="B6" s="3" t="inlineStr">
        <is>
          <t>Urbana (US)</t>
        </is>
      </c>
      <c r="C6" s="2" t="inlineStr">
        <is>
          <t>Kantola</t>
        </is>
      </c>
      <c r="D6" s="9" t="n">
        <v>40.062778</v>
      </c>
      <c r="E6" s="2" t="n">
        <v>-88.196111</v>
      </c>
      <c r="F6" s="2" t="inlineStr">
        <is>
          <t>crop_calcite</t>
        </is>
      </c>
      <c r="G6" s="2" t="n">
        <v>1</v>
      </c>
      <c r="H6" s="2" t="n">
        <v>1</v>
      </c>
      <c r="I6" s="2" t="inlineStr">
        <is>
          <t>Kantola</t>
        </is>
      </c>
      <c r="J6" s="4" t="n">
        <v>1</v>
      </c>
      <c r="K6" t="inlineStr">
        <is>
          <t>Kantola</t>
        </is>
      </c>
      <c r="L6" t="inlineStr">
        <is>
          <t>blueridge_CDF_data.json</t>
        </is>
      </c>
      <c r="M6" t="inlineStr">
        <is>
          <t>Blueridge</t>
        </is>
      </c>
      <c r="N6" t="inlineStr">
        <is>
          <t>silty loam</t>
        </is>
      </c>
      <c r="O6" s="7" t="n">
        <v>8.6</v>
      </c>
      <c r="P6" s="7" t="n">
        <v>0</v>
      </c>
      <c r="Q6" s="7" t="n">
        <v>0</v>
      </c>
      <c r="R6" s="7" t="n"/>
      <c r="S6" s="7" t="n"/>
      <c r="T6" s="7" t="n"/>
      <c r="U6" s="7" t="n"/>
      <c r="V6" s="7" t="n"/>
      <c r="W6" s="7" t="n"/>
      <c r="Y6" t="n">
        <v>0</v>
      </c>
      <c r="Z6" t="inlineStr">
        <is>
          <t>["calcite"]</t>
        </is>
      </c>
      <c r="AA6" s="1" t="inlineStr">
        <is>
          <t>[1]</t>
        </is>
      </c>
      <c r="AB6" t="n">
        <v>2710000</v>
      </c>
      <c r="AE6" t="n">
        <v>1.02</v>
      </c>
      <c r="AG6" t="n">
        <v>1</v>
      </c>
      <c r="AH6" t="n">
        <v>0</v>
      </c>
      <c r="AI6" t="n">
        <v>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ZIYAN ZHANG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2026-08-25T14:27:22Z</dcterms:modified>
  <cp:lastModifiedBy>Gregory Jones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0x010100BA25395398D53143824DAEC78DD9561A</vt:lpwstr>
  </property>
  <property name="MediaServiceImageTags" fmtid="{D5CDD505-2E9C-101B-9397-08002B2CF9AE}" pid="3">
    <vt:lpwstr xmlns:vt="http://schemas.openxmlformats.org/officeDocument/2006/docPropsVTypes"/>
  </property>
</Properties>
</file>